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iones" sheetId="1" state="visible" r:id="rId3"/>
    <sheet name="Canje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<sst xmlns="http://schemas.openxmlformats.org/spreadsheetml/2006/main" count="56" uniqueCount="52">
  <si>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t xml:space="preserve">EL LABORATORIO SECRETO — Registro maestro de misiones</t>
  </si>
  <si>
    <t xml:space="preserve">Editable = fondo amarillo (Estado y Fecha_Aprobacion). Lo demás es referencia: no lo cambies aquí, se edita en assets/js/missions.js del sitio.</t>
  </si>
  <si>
    <t xml:space="preserve">Estado admite: Pendiente / Completada / Omitida (para la ruta no elegida).</t>
  </si>
  <si>
    <t xml:space="preserve">ID</t>
  </si>
  <si>
    <t xml:space="preserve">Nombre</t>
  </si>
  <si>
    <t xml:space="preserve">Fase</t>
  </si>
  <si>
    <t xml:space="preserve">Tipo</t>
  </si>
  <si>
    <t xml:space="preserve">Costo_XP</t>
  </si>
  <si>
    <t xml:space="preserve">Recompensa_XP</t>
  </si>
  <si>
    <t xml:space="preserve">Estado</t>
  </si>
  <si>
    <t xml:space="preserve">Fecha_Aprobacion</t>
  </si>
  <si>
    <t xml:space="preserve">01</t>
  </si>
  <si>
    <t xml:space="preserve">La puerta secreta</t>
  </si>
  <si>
    <t xml:space="preserve">Principal</t>
  </si>
  <si>
    <t xml:space="preserve">Completada</t>
  </si>
  <si>
    <t xml:space="preserve">2026-09-02</t>
  </si>
  <si>
    <t xml:space="preserve">02</t>
  </si>
  <si>
    <t xml:space="preserve">La luz que despierta</t>
  </si>
  <si>
    <t xml:space="preserve">Pendiente</t>
  </si>
  <si>
    <t xml:space="preserve">06</t>
  </si>
  <si>
    <t xml:space="preserve">El boton magico</t>
  </si>
  <si>
    <t xml:space="preserve">Ruta A</t>
  </si>
  <si>
    <t xml:space="preserve">07</t>
  </si>
  <si>
    <t xml:space="preserve">Los colores del laboratorio</t>
  </si>
  <si>
    <t xml:space="preserve">Ruta B</t>
  </si>
  <si>
    <t xml:space="preserve">Para agregar una misión nueva: copia una fila, pon su ID y deja Estado = Pendiente.</t>
  </si>
  <si>
    <t xml:space="preserve">EL LABORATORIO SECRETO — Registro de canjes</t>
  </si>
  <si>
    <t xml:space="preserve">Cada vez que Juan Martín cambie XP disponible por algo, agrega una fila aquí.</t>
  </si>
  <si>
    <t xml:space="preserve">Tipo admite: Nivel (desbloquea una fase) / Componente (motor, OLED, etc.) / Bloques (mas bloques magneticos) / Premio (tiempo extra, salida, etc.)</t>
  </si>
  <si>
    <t xml:space="preserve">Fecha</t>
  </si>
  <si>
    <t xml:space="preserve">Descripcion</t>
  </si>
  <si>
    <t xml:space="preserve">Habilita</t>
  </si>
  <si>
    <t xml:space="preserve">XP_Gastado</t>
  </si>
  <si>
    <t xml:space="preserve">2026-09-05</t>
  </si>
  <si>
    <t xml:space="preserve">Premio</t>
  </si>
  <si>
    <t xml:space="preserve">30 min extra de Minecraft (ejemplo, borrar)</t>
  </si>
  <si>
    <t xml:space="preserve">-</t>
  </si>
  <si>
    <t xml:space="preserve">Nivel</t>
  </si>
  <si>
    <t xml:space="preserve">Ejemplo: abrir Fase 3 (ejemplo, borrar)</t>
  </si>
  <si>
    <t xml:space="preserve">Fase 3 - Sentidos</t>
  </si>
  <si>
    <t xml:space="preserve">Bloques</t>
  </si>
  <si>
    <t xml:space="preserve">Ejemplo: 20 bloques magneticos extra (ejemplo, borrar)</t>
  </si>
  <si>
    <t xml:space="preserve">+20 bloques</t>
  </si>
  <si>
    <t xml:space="preserve">Componente</t>
  </si>
  <si>
    <t xml:space="preserve">Ejemplo: habilitar el motor + helice (ejemplo, borrar)</t>
  </si>
  <si>
    <t xml:space="preserve">Motor + helice</t>
  </si>
  <si>
    <t xml:space="preserve">EL LABORATORIO SECRETO — Resumen de XP</t>
  </si>
  <si>
    <t xml:space="preserve">Solo lectura: se calcula solo a partir de la hoja Misiones y Canjes.</t>
  </si>
  <si>
    <t xml:space="preserve">XP total (histórico)</t>
  </si>
  <si>
    <t xml:space="preserve">XP gastada en desbloqueos</t>
  </si>
  <si>
    <t xml:space="preserve">XP gastada en canjes</t>
  </si>
  <si>
    <t xml:space="preserve">XP disponible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</si>
</sst>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6382C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6F4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6382C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3B0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8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customFormat="false" ht="15" hidden="false" customHeight="false" outlineLevel="0" collapsed="false">
      <c r="A6" s="4" t="s">
        <v>11</v>
      </c>
      <c r="B6" s="4" t="s">
        <v>12</v>
      </c>
      <c r="C6" s="4" t="n">
        <v>1</v>
      </c>
      <c r="D6" s="4" t="s">
        <v>13</v>
      </c>
      <c r="E6" s="4" t="n">
        <v>0</v>
      </c>
      <c r="F6" s="4" t="n">
        <v>20</v>
      </c>
      <c r="G6" s="5" t="s">
        <v>14</v>
      </c>
      <c r="H6" s="5" t="s">
        <v>15</v>
      </c>
    </row>
    <row r="7" customFormat="false" ht="15" hidden="false" customHeight="false" outlineLevel="0" collapsed="false">
      <c r="A7" s="4" t="s">
        <v>16</v>
      </c>
      <c r="B7" s="4" t="s">
        <v>17</v>
      </c>
      <c r="C7" s="4" t="n">
        <v>1</v>
      </c>
      <c r="D7" s="4" t="s">
        <v>13</v>
      </c>
      <c r="E7" s="4" t="n">
        <v>15</v>
      </c>
      <c r="F7" s="4" t="n">
        <v>20</v>
      </c>
      <c r="G7" s="5" t="s">
        <v>18</v>
      </c>
      <c r="H7" s="5"/>
    </row>
    <row r="8" customFormat="false" ht="15" hidden="false" customHeight="false" outlineLevel="0" collapsed="false">
      <c r="A8" s="4" t="s">
        <v>19</v>
      </c>
      <c r="B8" s="4" t="s">
        <v>20</v>
      </c>
      <c r="C8" s="4" t="n">
        <v>2</v>
      </c>
      <c r="D8" s="4" t="s">
        <v>21</v>
      </c>
      <c r="E8" s="4" t="n">
        <v>20</v>
      </c>
      <c r="F8" s="4" t="n">
        <v>25</v>
      </c>
      <c r="G8" s="5" t="s">
        <v>18</v>
      </c>
      <c r="H8" s="5"/>
    </row>
    <row r="9" customFormat="false" ht="15" hidden="false" customHeight="false" outlineLevel="0" collapsed="false">
      <c r="A9" s="4" t="s">
        <v>22</v>
      </c>
      <c r="B9" s="4" t="s">
        <v>23</v>
      </c>
      <c r="C9" s="4" t="n">
        <v>2</v>
      </c>
      <c r="D9" s="4" t="s">
        <v>24</v>
      </c>
      <c r="E9" s="4" t="n">
        <v>20</v>
      </c>
      <c r="F9" s="4" t="n">
        <v>25</v>
      </c>
      <c r="G9" s="5" t="s">
        <v>18</v>
      </c>
      <c r="H9" s="5"/>
    </row>
    <row r="11" customFormat="false" ht="15" hidden="false" customHeight="false" outlineLevel="0" collapsed="false">
      <c r="A11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2" t="s">
        <v>28</v>
      </c>
    </row>
    <row r="5" customFormat="false" ht="15" hidden="false" customHeight="false" outlineLevel="0" collapsed="false">
      <c r="A5" s="3" t="s">
        <v>29</v>
      </c>
      <c r="B5" s="3" t="s">
        <v>6</v>
      </c>
      <c r="C5" s="3" t="s">
        <v>30</v>
      </c>
      <c r="D5" s="3" t="s">
        <v>31</v>
      </c>
      <c r="E5" s="3" t="s">
        <v>32</v>
      </c>
    </row>
    <row r="6" customFormat="false" ht="15" hidden="false" customHeight="false" outlineLevel="0" collapsed="false">
      <c r="A6" s="5" t="s">
        <v>33</v>
      </c>
      <c r="B6" s="5" t="s">
        <v>34</v>
      </c>
      <c r="C6" s="5" t="s">
        <v>35</v>
      </c>
      <c r="D6" s="5" t="s">
        <v>36</v>
      </c>
      <c r="E6" s="5" t="n">
        <v>10</v>
      </c>
    </row>
    <row r="7" customFormat="false" ht="15" hidden="false" customHeight="false" outlineLevel="0" collapsed="false">
      <c r="A7" s="5"/>
      <c r="B7" s="5" t="s">
        <v>37</v>
      </c>
      <c r="C7" s="5" t="s">
        <v>38</v>
      </c>
      <c r="D7" s="5" t="s">
        <v>39</v>
      </c>
      <c r="E7" s="5" t="n">
        <v>0</v>
      </c>
    </row>
    <row r="8" customFormat="false" ht="15" hidden="false" customHeight="false" outlineLevel="0" collapsed="false">
      <c r="A8" s="5"/>
      <c r="B8" s="5" t="s">
        <v>40</v>
      </c>
      <c r="C8" s="5" t="s">
        <v>41</v>
      </c>
      <c r="D8" s="5" t="s">
        <v>42</v>
      </c>
      <c r="E8" s="5" t="n">
        <v>0</v>
      </c>
    </row>
    <row r="9" customFormat="false" ht="15" hidden="false" customHeight="false" outlineLevel="0" collapsed="false">
      <c r="A9" s="5"/>
      <c r="B9" s="5" t="s">
        <v>43</v>
      </c>
      <c r="C9" s="5" t="s">
        <v>44</v>
      </c>
      <c r="D9" s="5" t="s">
        <v>45</v>
      </c>
      <c r="E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6" t="s">
        <v>48</v>
      </c>
      <c r="B4" s="7" t="n">
        <f aca="false">SUMIFS(Misiones!F6:F9,Misiones!G6:G9,"Completada")</f>
        <v>20</v>
      </c>
    </row>
    <row r="5" customFormat="false" ht="15" hidden="false" customHeight="false" outlineLevel="0" collapsed="false">
      <c r="A5" s="6" t="s">
        <v>49</v>
      </c>
      <c r="B5" s="7" t="n">
        <f aca="false">SUMIFS(Misiones!E6:E9,Misiones!G6:G9,"Completada")</f>
        <v>0</v>
      </c>
    </row>
    <row r="6" customFormat="false" ht="15" hidden="false" customHeight="false" outlineLevel="0" collapsed="false">
      <c r="A6" s="6" t="s">
        <v>50</v>
      </c>
      <c r="B6" s="7" t="n">
        <f aca="false">SUM(Canjes!E6:E35)</f>
        <v>10</v>
      </c>
    </row>
    <row r="7" customFormat="false" ht="15" hidden="false" customHeight="false" outlineLevel="0" collapsed="false">
      <c r="A7" s="6" t="s">
        <v>51</v>
      </c>
      <c r="B7" s="7" t="n">
        <f aca="false">B4-B5-B6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2026-09-09T21:53:07Z</dcterms:created>
  <dc:creator>openpyxl</dc:creator>
  <dc:description/>
  <dc:language>en-US</dc:language>
  <cp:lastModifiedBy/>
  <dcterms:modified xsi:type="dcterms:W3CDTF">2026-09-09T21:53:07Z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