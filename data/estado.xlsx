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iones" sheetId="1" state="visible" r:id="rId3"/>
    <sheet name="Canje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<sst xmlns="http://schemas.openxmlformats.org/spreadsheetml/2006/main" count="228" uniqueCount="145">
  <si>
    <t xml:space="preserve">EL LABORATORIO SECRETO — Registro maestro de misiones</t>
  </si>
  <si>
    <t xml:space="preserve">Editable = fondo amarillo (Estado y Fecha_Aprobacion). Lo demás es referencia: no lo cambies aquí, se edita en assets/js/missions.js del sitio.</t>
  </si>
  <si>
    <t xml:space="preserve">Estado admite: Pendiente / Completada / Omitida (para la ruta no elegida).</t>
  </si>
  <si>
    <t xml:space="preserve">ID</t>
  </si>
  <si>
    <t xml:space="preserve">Nombre</t>
  </si>
  <si>
    <t xml:space="preserve">Fase</t>
  </si>
  <si>
    <t xml:space="preserve">Tipo</t>
  </si>
  <si>
    <t xml:space="preserve">Costo_XP</t>
  </si>
  <si>
    <t xml:space="preserve">Recompensa_XP</t>
  </si>
  <si>
    <t xml:space="preserve">Estado</t>
  </si>
  <si>
    <t xml:space="preserve">Fecha_Aprobacion</t>
  </si>
  <si>
    <t xml:space="preserve">01</t>
  </si>
  <si>
    <t xml:space="preserve">La puerta secreta</t>
  </si>
  <si>
    <t xml:space="preserve">Principal</t>
  </si>
  <si>
    <t xml:space="preserve">Completada</t>
  </si>
  <si>
    <t xml:space="preserve">2026-09-02</t>
  </si>
  <si>
    <t xml:space="preserve">02</t>
  </si>
  <si>
    <t xml:space="preserve">La luz que despierta</t>
  </si>
  <si>
    <t xml:space="preserve">Pendiente</t>
  </si>
  <si>
    <t xml:space="preserve">03</t>
  </si>
  <si>
    <t xml:space="preserve">El mapa de los electrones</t>
  </si>
  <si>
    <t xml:space="preserve">Exploracion</t>
  </si>
  <si>
    <t xml:space="preserve">04</t>
  </si>
  <si>
    <t xml:space="preserve">El primer parpadeo</t>
  </si>
  <si>
    <t xml:space="preserve">05</t>
  </si>
  <si>
    <t xml:space="preserve">Tres colores</t>
  </si>
  <si>
    <t xml:space="preserve">06</t>
  </si>
  <si>
    <t xml:space="preserve">El boton magico</t>
  </si>
  <si>
    <t xml:space="preserve">Ruta A</t>
  </si>
  <si>
    <t xml:space="preserve">07</t>
  </si>
  <si>
    <t xml:space="preserve">Los colores del laboratorio</t>
  </si>
  <si>
    <t xml:space="preserve">Ruta B</t>
  </si>
  <si>
    <t xml:space="preserve">08</t>
  </si>
  <si>
    <t xml:space="preserve">El codigo secreto</t>
  </si>
  <si>
    <t xml:space="preserve">09</t>
  </si>
  <si>
    <t xml:space="preserve">La resistencia invisible</t>
  </si>
  <si>
    <t xml:space="preserve">Bonus</t>
  </si>
  <si>
    <t xml:space="preserve">10</t>
  </si>
  <si>
    <t xml:space="preserve">Dos luces, una mision</t>
  </si>
  <si>
    <t xml:space="preserve">11</t>
  </si>
  <si>
    <t xml:space="preserve">El semaforo secreto</t>
  </si>
  <si>
    <t xml:space="preserve">12</t>
  </si>
  <si>
    <t xml:space="preserve">El boton maestro</t>
  </si>
  <si>
    <t xml:space="preserve">13</t>
  </si>
  <si>
    <t xml:space="preserve">El potenciometro magico</t>
  </si>
  <si>
    <t xml:space="preserve">14</t>
  </si>
  <si>
    <t xml:space="preserve">Controla la intensidad</t>
  </si>
  <si>
    <t xml:space="preserve">Reto</t>
  </si>
  <si>
    <t xml:space="preserve">15</t>
  </si>
  <si>
    <t xml:space="preserve">La alarma del laboratorio</t>
  </si>
  <si>
    <t xml:space="preserve">16</t>
  </si>
  <si>
    <t xml:space="preserve">El sonido que avisa</t>
  </si>
  <si>
    <t xml:space="preserve">17</t>
  </si>
  <si>
    <t xml:space="preserve">El rele misterioso</t>
  </si>
  <si>
    <t xml:space="preserve">18</t>
  </si>
  <si>
    <t xml:space="preserve">El codigo de colores</t>
  </si>
  <si>
    <t xml:space="preserve">19</t>
  </si>
  <si>
    <t xml:space="preserve">La feria de luces</t>
  </si>
  <si>
    <t xml:space="preserve">20</t>
  </si>
  <si>
    <t xml:space="preserve">El laboratorio tiene fiebre</t>
  </si>
  <si>
    <t xml:space="preserve">21</t>
  </si>
  <si>
    <t xml:space="preserve">Que tan humedo esta</t>
  </si>
  <si>
    <t xml:space="preserve">22</t>
  </si>
  <si>
    <t xml:space="preserve">El sensor que ve</t>
  </si>
  <si>
    <t xml:space="preserve">23</t>
  </si>
  <si>
    <t xml:space="preserve">La luz fantasma</t>
  </si>
  <si>
    <t xml:space="preserve">24</t>
  </si>
  <si>
    <t xml:space="preserve">El detector de obstaculos</t>
  </si>
  <si>
    <t xml:space="preserve">25</t>
  </si>
  <si>
    <t xml:space="preserve">Hay alguien ahi</t>
  </si>
  <si>
    <t xml:space="preserve">26</t>
  </si>
  <si>
    <t xml:space="preserve">El oido electronico</t>
  </si>
  <si>
    <t xml:space="preserve">27</t>
  </si>
  <si>
    <t xml:space="preserve">La pantalla secreta</t>
  </si>
  <si>
    <t xml:space="preserve">28</t>
  </si>
  <si>
    <t xml:space="preserve">El laboratorio habla</t>
  </si>
  <si>
    <t xml:space="preserve">29</t>
  </si>
  <si>
    <t xml:space="preserve">El mapa de sensores</t>
  </si>
  <si>
    <t xml:space="preserve">30</t>
  </si>
  <si>
    <t xml:space="preserve">El codigo secreto del sensor</t>
  </si>
  <si>
    <t xml:space="preserve">31</t>
  </si>
  <si>
    <t xml:space="preserve">El guardian de temperatura</t>
  </si>
  <si>
    <t xml:space="preserve">32</t>
  </si>
  <si>
    <t xml:space="preserve">La maquina de decisiones</t>
  </si>
  <si>
    <t xml:space="preserve">33</t>
  </si>
  <si>
    <t xml:space="preserve">Si pasa esto...</t>
  </si>
  <si>
    <t xml:space="preserve">34</t>
  </si>
  <si>
    <t xml:space="preserve">La puerta secreta 2.0</t>
  </si>
  <si>
    <t xml:space="preserve">35</t>
  </si>
  <si>
    <t xml:space="preserve">Alarma de intrusos</t>
  </si>
  <si>
    <t xml:space="preserve">36</t>
  </si>
  <si>
    <t xml:space="preserve">El detector de luz</t>
  </si>
  <si>
    <t xml:space="preserve">37</t>
  </si>
  <si>
    <t xml:space="preserve">El motor cobra vida</t>
  </si>
  <si>
    <t xml:space="preserve">Especial</t>
  </si>
  <si>
    <t xml:space="preserve">38</t>
  </si>
  <si>
    <t xml:space="preserve">La maquina automatica</t>
  </si>
  <si>
    <t xml:space="preserve">39</t>
  </si>
  <si>
    <t xml:space="preserve">El circuito misterioso</t>
  </si>
  <si>
    <t xml:space="preserve">40</t>
  </si>
  <si>
    <t xml:space="preserve">La fabrica de piezas</t>
  </si>
  <si>
    <t xml:space="preserve">41</t>
  </si>
  <si>
    <t xml:space="preserve">El reto de los tres componentes</t>
  </si>
  <si>
    <t xml:space="preserve">42</t>
  </si>
  <si>
    <t xml:space="preserve">La maquina de reaccion</t>
  </si>
  <si>
    <t xml:space="preserve">43</t>
  </si>
  <si>
    <t xml:space="preserve">El desafio de los sensores</t>
  </si>
  <si>
    <t xml:space="preserve">44</t>
  </si>
  <si>
    <t xml:space="preserve">La maquina inutil</t>
  </si>
  <si>
    <t xml:space="preserve">45</t>
  </si>
  <si>
    <t xml:space="preserve">El invento imposible</t>
  </si>
  <si>
    <t xml:space="preserve">Secreta</t>
  </si>
  <si>
    <t xml:space="preserve">46</t>
  </si>
  <si>
    <t xml:space="preserve">El gran proyecto</t>
  </si>
  <si>
    <t xml:space="preserve">Final</t>
  </si>
  <si>
    <t xml:space="preserve">47</t>
  </si>
  <si>
    <t xml:space="preserve">El laboratorio es tuyo</t>
  </si>
  <si>
    <t xml:space="preserve">Final secreto</t>
  </si>
  <si>
    <t xml:space="preserve">Para agregar una misión nueva: copia una fila, pon su ID y deja Estado = Pendiente.</t>
  </si>
  <si>
    <t xml:space="preserve">EL LABORATORIO SECRETO — Registro de canjes</t>
  </si>
  <si>
    <t xml:space="preserve">Cada vez que Juan Martín cambie XP disponible por algo, agrega una fila aquí.</t>
  </si>
  <si>
    <t xml:space="preserve">Tipo admite: Nivel (desbloquea una fase) / Componente (motor, OLED, etc.) / Bloques (mas bloques magneticos) / Premio (tiempo extra, salida, etc.)</t>
  </si>
  <si>
    <t xml:space="preserve">Fecha</t>
  </si>
  <si>
    <t xml:space="preserve">Descripcion</t>
  </si>
  <si>
    <t xml:space="preserve">Habilita</t>
  </si>
  <si>
    <t xml:space="preserve">XP_Gastado</t>
  </si>
  <si>
    <t xml:space="preserve">2026-09-05</t>
  </si>
  <si>
    <t xml:space="preserve">Premio</t>
  </si>
  <si>
    <t xml:space="preserve">30 min extra de Minecraft (ejemplo, borrar)</t>
  </si>
  <si>
    <t xml:space="preserve">-</t>
  </si>
  <si>
    <t xml:space="preserve">Nivel</t>
  </si>
  <si>
    <t xml:space="preserve">Ejemplo: abrir Fase 3 (ejemplo, borrar)</t>
  </si>
  <si>
    <t xml:space="preserve">Fase 3 - Sentidos</t>
  </si>
  <si>
    <t xml:space="preserve">Bloques</t>
  </si>
  <si>
    <t xml:space="preserve">Ejemplo: 20 bloques magneticos extra (ejemplo, borrar)</t>
  </si>
  <si>
    <t xml:space="preserve">+20 bloques</t>
  </si>
  <si>
    <t xml:space="preserve">Componente</t>
  </si>
  <si>
    <t xml:space="preserve">Ejemplo: habilitar el motor + helice (ejemplo, borrar)</t>
  </si>
  <si>
    <t xml:space="preserve">Motor + helice</t>
  </si>
  <si>
    <t xml:space="preserve">EL LABORATORIO SECRETO — Resumen de XP</t>
  </si>
  <si>
    <t xml:space="preserve">Solo lectura: se calcula solo a partir de la hoja Misiones y Canjes.</t>
  </si>
  <si>
    <t xml:space="preserve">XP total (histórico)</t>
  </si>
  <si>
    <t xml:space="preserve">XP gastada en desbloqueos</t>
  </si>
  <si>
    <t xml:space="preserve">XP gastada en canjes</t>
  </si>
  <si>
    <t xml:space="preserve">XP disponible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</si>
</sst>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6382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6F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382C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3B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8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n">
        <v>1</v>
      </c>
      <c r="D6" s="4" t="s">
        <v>13</v>
      </c>
      <c r="E6" s="4" t="n">
        <v>0</v>
      </c>
      <c r="F6" s="4" t="n">
        <v>20</v>
      </c>
      <c r="G6" s="5" t="s">
        <v>14</v>
      </c>
      <c r="H6" s="5" t="s">
        <v>15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n">
        <v>1</v>
      </c>
      <c r="D7" s="4" t="s">
        <v>13</v>
      </c>
      <c r="E7" s="4" t="n">
        <v>15</v>
      </c>
      <c r="F7" s="4" t="n">
        <v>20</v>
      </c>
      <c r="G7" s="5" t="s">
        <v>18</v>
      </c>
      <c r="H7" s="5"/>
    </row>
    <row r="8" customFormat="false" ht="15" hidden="false" customHeight="false" outlineLevel="0" collapsed="false">
      <c r="A8" s="4" t="s">
        <v>19</v>
      </c>
      <c r="B8" s="4" t="s">
        <v>20</v>
      </c>
      <c r="C8" s="4" t="n">
        <v>1</v>
      </c>
      <c r="D8" s="4" t="s">
        <v>21</v>
      </c>
      <c r="E8" s="4" t="n">
        <v>15</v>
      </c>
      <c r="F8" s="4" t="n">
        <v>15</v>
      </c>
      <c r="G8" s="5" t="s">
        <v>18</v>
      </c>
      <c r="H8" s="5"/>
    </row>
    <row r="9" customFormat="false" ht="15" hidden="false" customHeight="false" outlineLevel="0" collapsed="false">
      <c r="A9" s="4" t="s">
        <v>22</v>
      </c>
      <c r="B9" s="4" t="s">
        <v>23</v>
      </c>
      <c r="C9" s="4" t="n">
        <v>1</v>
      </c>
      <c r="D9" s="4" t="s">
        <v>13</v>
      </c>
      <c r="E9" s="4" t="n">
        <v>15</v>
      </c>
      <c r="F9" s="4" t="n">
        <v>20</v>
      </c>
      <c r="G9" s="5" t="s">
        <v>18</v>
      </c>
      <c r="H9" s="5"/>
    </row>
    <row r="10" customFormat="false" ht="15" hidden="false" customHeight="false" outlineLevel="0" collapsed="false">
      <c r="A10" s="4" t="s">
        <v>24</v>
      </c>
      <c r="B10" s="4" t="s">
        <v>25</v>
      </c>
      <c r="C10" s="4" t="n">
        <v>1</v>
      </c>
      <c r="D10" s="4" t="s">
        <v>13</v>
      </c>
      <c r="E10" s="4" t="n">
        <v>15</v>
      </c>
      <c r="F10" s="4" t="n">
        <v>20</v>
      </c>
      <c r="G10" s="5" t="s">
        <v>18</v>
      </c>
      <c r="H10" s="5"/>
    </row>
    <row r="11" customFormat="false" ht="15" hidden="false" customHeight="false" outlineLevel="0" collapsed="false">
      <c r="A11" s="4" t="s">
        <v>26</v>
      </c>
      <c r="B11" s="4" t="s">
        <v>27</v>
      </c>
      <c r="C11" s="4" t="n">
        <v>1</v>
      </c>
      <c r="D11" s="4" t="s">
        <v>28</v>
      </c>
      <c r="E11" s="4" t="n">
        <v>20</v>
      </c>
      <c r="F11" s="4" t="n">
        <v>25</v>
      </c>
      <c r="G11" s="5" t="s">
        <v>18</v>
      </c>
      <c r="H11" s="5"/>
    </row>
    <row r="12" customFormat="false" ht="15" hidden="false" customHeight="false" outlineLevel="0" collapsed="false">
      <c r="A12" s="4" t="s">
        <v>29</v>
      </c>
      <c r="B12" s="4" t="s">
        <v>30</v>
      </c>
      <c r="C12" s="4" t="n">
        <v>1</v>
      </c>
      <c r="D12" s="4" t="s">
        <v>31</v>
      </c>
      <c r="E12" s="4" t="n">
        <v>20</v>
      </c>
      <c r="F12" s="4" t="n">
        <v>25</v>
      </c>
      <c r="G12" s="5" t="s">
        <v>18</v>
      </c>
      <c r="H12" s="5"/>
    </row>
    <row r="13" customFormat="false" ht="15" hidden="false" customHeight="false" outlineLevel="0" collapsed="false">
      <c r="A13" s="4" t="s">
        <v>32</v>
      </c>
      <c r="B13" s="4" t="s">
        <v>33</v>
      </c>
      <c r="C13" s="4" t="n">
        <v>1</v>
      </c>
      <c r="D13" s="4" t="s">
        <v>13</v>
      </c>
      <c r="E13" s="4" t="n">
        <v>20</v>
      </c>
      <c r="F13" s="4" t="n">
        <v>25</v>
      </c>
      <c r="G13" s="5" t="s">
        <v>18</v>
      </c>
      <c r="H13" s="5"/>
    </row>
    <row r="14" customFormat="false" ht="15" hidden="false" customHeight="false" outlineLevel="0" collapsed="false">
      <c r="A14" s="4" t="s">
        <v>34</v>
      </c>
      <c r="B14" s="4" t="s">
        <v>35</v>
      </c>
      <c r="C14" s="4" t="n">
        <v>1</v>
      </c>
      <c r="D14" s="4" t="s">
        <v>36</v>
      </c>
      <c r="E14" s="4" t="n">
        <v>0</v>
      </c>
      <c r="F14" s="4" t="n">
        <v>15</v>
      </c>
      <c r="G14" s="5" t="s">
        <v>18</v>
      </c>
      <c r="H14" s="5"/>
    </row>
    <row r="15" customFormat="false" ht="15" hidden="false" customHeight="false" outlineLevel="0" collapsed="false">
      <c r="A15" s="4" t="s">
        <v>37</v>
      </c>
      <c r="B15" s="4" t="s">
        <v>38</v>
      </c>
      <c r="C15" s="4" t="n">
        <v>1</v>
      </c>
      <c r="D15" s="4" t="s">
        <v>13</v>
      </c>
      <c r="E15" s="4" t="n">
        <v>20</v>
      </c>
      <c r="F15" s="4" t="n">
        <v>25</v>
      </c>
      <c r="G15" s="5" t="s">
        <v>18</v>
      </c>
      <c r="H15" s="5"/>
    </row>
    <row r="16" customFormat="false" ht="15" hidden="false" customHeight="false" outlineLevel="0" collapsed="false">
      <c r="A16" s="4" t="s">
        <v>39</v>
      </c>
      <c r="B16" s="4" t="s">
        <v>40</v>
      </c>
      <c r="C16" s="4" t="n">
        <v>2</v>
      </c>
      <c r="D16" s="4" t="s">
        <v>13</v>
      </c>
      <c r="E16" s="4" t="n">
        <v>20</v>
      </c>
      <c r="F16" s="4" t="n">
        <v>25</v>
      </c>
      <c r="G16" s="5" t="s">
        <v>18</v>
      </c>
      <c r="H16" s="5"/>
    </row>
    <row r="17" customFormat="false" ht="15" hidden="false" customHeight="false" outlineLevel="0" collapsed="false">
      <c r="A17" s="4" t="s">
        <v>41</v>
      </c>
      <c r="B17" s="4" t="s">
        <v>42</v>
      </c>
      <c r="C17" s="4" t="n">
        <v>2</v>
      </c>
      <c r="D17" s="4" t="s">
        <v>13</v>
      </c>
      <c r="E17" s="4" t="n">
        <v>20</v>
      </c>
      <c r="F17" s="4" t="n">
        <v>25</v>
      </c>
      <c r="G17" s="5" t="s">
        <v>18</v>
      </c>
      <c r="H17" s="5"/>
    </row>
    <row r="18" customFormat="false" ht="15" hidden="false" customHeight="false" outlineLevel="0" collapsed="false">
      <c r="A18" s="4" t="s">
        <v>43</v>
      </c>
      <c r="B18" s="4" t="s">
        <v>44</v>
      </c>
      <c r="C18" s="4" t="n">
        <v>2</v>
      </c>
      <c r="D18" s="4" t="s">
        <v>13</v>
      </c>
      <c r="E18" s="4" t="n">
        <v>20</v>
      </c>
      <c r="F18" s="4" t="n">
        <v>25</v>
      </c>
      <c r="G18" s="5" t="s">
        <v>18</v>
      </c>
      <c r="H18" s="5"/>
    </row>
    <row r="19" customFormat="false" ht="15" hidden="false" customHeight="false" outlineLevel="0" collapsed="false">
      <c r="A19" s="4" t="s">
        <v>45</v>
      </c>
      <c r="B19" s="4" t="s">
        <v>46</v>
      </c>
      <c r="C19" s="4" t="n">
        <v>2</v>
      </c>
      <c r="D19" s="4" t="s">
        <v>47</v>
      </c>
      <c r="E19" s="4" t="n">
        <v>20</v>
      </c>
      <c r="F19" s="4" t="n">
        <v>30</v>
      </c>
      <c r="G19" s="5" t="s">
        <v>18</v>
      </c>
      <c r="H19" s="5"/>
    </row>
    <row r="20" customFormat="false" ht="15" hidden="false" customHeight="false" outlineLevel="0" collapsed="false">
      <c r="A20" s="4" t="s">
        <v>48</v>
      </c>
      <c r="B20" s="4" t="s">
        <v>49</v>
      </c>
      <c r="C20" s="4" t="n">
        <v>2</v>
      </c>
      <c r="D20" s="4" t="s">
        <v>13</v>
      </c>
      <c r="E20" s="4" t="n">
        <v>20</v>
      </c>
      <c r="F20" s="4" t="n">
        <v>25</v>
      </c>
      <c r="G20" s="5" t="s">
        <v>18</v>
      </c>
      <c r="H20" s="5"/>
    </row>
    <row r="21" customFormat="false" ht="15" hidden="false" customHeight="false" outlineLevel="0" collapsed="false">
      <c r="A21" s="4" t="s">
        <v>50</v>
      </c>
      <c r="B21" s="4" t="s">
        <v>51</v>
      </c>
      <c r="C21" s="4" t="n">
        <v>2</v>
      </c>
      <c r="D21" s="4" t="s">
        <v>13</v>
      </c>
      <c r="E21" s="4" t="n">
        <v>25</v>
      </c>
      <c r="F21" s="4" t="n">
        <v>30</v>
      </c>
      <c r="G21" s="5" t="s">
        <v>18</v>
      </c>
      <c r="H21" s="5"/>
    </row>
    <row r="22" customFormat="false" ht="15" hidden="false" customHeight="false" outlineLevel="0" collapsed="false">
      <c r="A22" s="4" t="s">
        <v>52</v>
      </c>
      <c r="B22" s="4" t="s">
        <v>53</v>
      </c>
      <c r="C22" s="4" t="n">
        <v>2</v>
      </c>
      <c r="D22" s="4" t="s">
        <v>13</v>
      </c>
      <c r="E22" s="4" t="n">
        <v>25</v>
      </c>
      <c r="F22" s="4" t="n">
        <v>30</v>
      </c>
      <c r="G22" s="5" t="s">
        <v>18</v>
      </c>
      <c r="H22" s="5"/>
    </row>
    <row r="23" customFormat="false" ht="15" hidden="false" customHeight="false" outlineLevel="0" collapsed="false">
      <c r="A23" s="4" t="s">
        <v>54</v>
      </c>
      <c r="B23" s="4" t="s">
        <v>55</v>
      </c>
      <c r="C23" s="4" t="n">
        <v>2</v>
      </c>
      <c r="D23" s="4" t="s">
        <v>36</v>
      </c>
      <c r="E23" s="4" t="n">
        <v>0</v>
      </c>
      <c r="F23" s="4" t="n">
        <v>15</v>
      </c>
      <c r="G23" s="5" t="s">
        <v>18</v>
      </c>
      <c r="H23" s="5"/>
    </row>
    <row r="24" customFormat="false" ht="15" hidden="false" customHeight="false" outlineLevel="0" collapsed="false">
      <c r="A24" s="4" t="s">
        <v>56</v>
      </c>
      <c r="B24" s="4" t="s">
        <v>57</v>
      </c>
      <c r="C24" s="4" t="n">
        <v>2</v>
      </c>
      <c r="D24" s="4" t="s">
        <v>47</v>
      </c>
      <c r="E24" s="4" t="n">
        <v>25</v>
      </c>
      <c r="F24" s="4" t="n">
        <v>35</v>
      </c>
      <c r="G24" s="5" t="s">
        <v>18</v>
      </c>
      <c r="H24" s="5"/>
    </row>
    <row r="25" customFormat="false" ht="15" hidden="false" customHeight="false" outlineLevel="0" collapsed="false">
      <c r="A25" s="4" t="s">
        <v>58</v>
      </c>
      <c r="B25" s="4" t="s">
        <v>59</v>
      </c>
      <c r="C25" s="4" t="n">
        <v>3</v>
      </c>
      <c r="D25" s="4" t="s">
        <v>13</v>
      </c>
      <c r="E25" s="4" t="n">
        <v>25</v>
      </c>
      <c r="F25" s="4" t="n">
        <v>30</v>
      </c>
      <c r="G25" s="5" t="s">
        <v>18</v>
      </c>
      <c r="H25" s="5"/>
    </row>
    <row r="26" customFormat="false" ht="15" hidden="false" customHeight="false" outlineLevel="0" collapsed="false">
      <c r="A26" s="4" t="s">
        <v>60</v>
      </c>
      <c r="B26" s="4" t="s">
        <v>61</v>
      </c>
      <c r="C26" s="4" t="n">
        <v>3</v>
      </c>
      <c r="D26" s="4" t="s">
        <v>13</v>
      </c>
      <c r="E26" s="4" t="n">
        <v>25</v>
      </c>
      <c r="F26" s="4" t="n">
        <v>30</v>
      </c>
      <c r="G26" s="5" t="s">
        <v>18</v>
      </c>
      <c r="H26" s="5"/>
    </row>
    <row r="27" customFormat="false" ht="15" hidden="false" customHeight="false" outlineLevel="0" collapsed="false">
      <c r="A27" s="4" t="s">
        <v>62</v>
      </c>
      <c r="B27" s="4" t="s">
        <v>63</v>
      </c>
      <c r="C27" s="4" t="n">
        <v>3</v>
      </c>
      <c r="D27" s="4" t="s">
        <v>13</v>
      </c>
      <c r="E27" s="4" t="n">
        <v>25</v>
      </c>
      <c r="F27" s="4" t="n">
        <v>30</v>
      </c>
      <c r="G27" s="5" t="s">
        <v>18</v>
      </c>
      <c r="H27" s="5"/>
    </row>
    <row r="28" customFormat="false" ht="15" hidden="false" customHeight="false" outlineLevel="0" collapsed="false">
      <c r="A28" s="4" t="s">
        <v>64</v>
      </c>
      <c r="B28" s="4" t="s">
        <v>65</v>
      </c>
      <c r="C28" s="4" t="n">
        <v>3</v>
      </c>
      <c r="D28" s="4" t="s">
        <v>47</v>
      </c>
      <c r="E28" s="4" t="n">
        <v>25</v>
      </c>
      <c r="F28" s="4" t="n">
        <v>35</v>
      </c>
      <c r="G28" s="5" t="s">
        <v>18</v>
      </c>
      <c r="H28" s="5"/>
    </row>
    <row r="29" customFormat="false" ht="15" hidden="false" customHeight="false" outlineLevel="0" collapsed="false">
      <c r="A29" s="4" t="s">
        <v>66</v>
      </c>
      <c r="B29" s="4" t="s">
        <v>67</v>
      </c>
      <c r="C29" s="4" t="n">
        <v>3</v>
      </c>
      <c r="D29" s="4" t="s">
        <v>13</v>
      </c>
      <c r="E29" s="4" t="n">
        <v>25</v>
      </c>
      <c r="F29" s="4" t="n">
        <v>30</v>
      </c>
      <c r="G29" s="5" t="s">
        <v>18</v>
      </c>
      <c r="H29" s="5"/>
    </row>
    <row r="30" customFormat="false" ht="15" hidden="false" customHeight="false" outlineLevel="0" collapsed="false">
      <c r="A30" s="4" t="s">
        <v>68</v>
      </c>
      <c r="B30" s="4" t="s">
        <v>69</v>
      </c>
      <c r="C30" s="4" t="n">
        <v>3</v>
      </c>
      <c r="D30" s="4" t="s">
        <v>28</v>
      </c>
      <c r="E30" s="4" t="n">
        <v>30</v>
      </c>
      <c r="F30" s="4" t="n">
        <v>35</v>
      </c>
      <c r="G30" s="5" t="s">
        <v>18</v>
      </c>
      <c r="H30" s="5"/>
    </row>
    <row r="31" customFormat="false" ht="15" hidden="false" customHeight="false" outlineLevel="0" collapsed="false">
      <c r="A31" s="4" t="s">
        <v>70</v>
      </c>
      <c r="B31" s="4" t="s">
        <v>71</v>
      </c>
      <c r="C31" s="4" t="n">
        <v>3</v>
      </c>
      <c r="D31" s="4" t="s">
        <v>31</v>
      </c>
      <c r="E31" s="4" t="n">
        <v>30</v>
      </c>
      <c r="F31" s="4" t="n">
        <v>35</v>
      </c>
      <c r="G31" s="5" t="s">
        <v>18</v>
      </c>
      <c r="H31" s="5"/>
    </row>
    <row r="32" customFormat="false" ht="15" hidden="false" customHeight="false" outlineLevel="0" collapsed="false">
      <c r="A32" s="4" t="s">
        <v>72</v>
      </c>
      <c r="B32" s="4" t="s">
        <v>73</v>
      </c>
      <c r="C32" s="4" t="n">
        <v>3</v>
      </c>
      <c r="D32" s="4" t="s">
        <v>13</v>
      </c>
      <c r="E32" s="4" t="n">
        <v>30</v>
      </c>
      <c r="F32" s="4" t="n">
        <v>35</v>
      </c>
      <c r="G32" s="5" t="s">
        <v>18</v>
      </c>
      <c r="H32" s="5"/>
    </row>
    <row r="33" customFormat="false" ht="15" hidden="false" customHeight="false" outlineLevel="0" collapsed="false">
      <c r="A33" s="4" t="s">
        <v>74</v>
      </c>
      <c r="B33" s="4" t="s">
        <v>75</v>
      </c>
      <c r="C33" s="4" t="n">
        <v>3</v>
      </c>
      <c r="D33" s="4" t="s">
        <v>47</v>
      </c>
      <c r="E33" s="4" t="n">
        <v>30</v>
      </c>
      <c r="F33" s="4" t="n">
        <v>35</v>
      </c>
      <c r="G33" s="5" t="s">
        <v>18</v>
      </c>
      <c r="H33" s="5"/>
    </row>
    <row r="34" customFormat="false" ht="15" hidden="false" customHeight="false" outlineLevel="0" collapsed="false">
      <c r="A34" s="4" t="s">
        <v>76</v>
      </c>
      <c r="B34" s="4" t="s">
        <v>77</v>
      </c>
      <c r="C34" s="4" t="n">
        <v>3</v>
      </c>
      <c r="D34" s="4" t="s">
        <v>36</v>
      </c>
      <c r="E34" s="4" t="n">
        <v>0</v>
      </c>
      <c r="F34" s="4" t="n">
        <v>20</v>
      </c>
      <c r="G34" s="5" t="s">
        <v>18</v>
      </c>
      <c r="H34" s="5"/>
    </row>
    <row r="35" customFormat="false" ht="15" hidden="false" customHeight="false" outlineLevel="0" collapsed="false">
      <c r="A35" s="4" t="s">
        <v>78</v>
      </c>
      <c r="B35" s="4" t="s">
        <v>79</v>
      </c>
      <c r="C35" s="4" t="n">
        <v>3</v>
      </c>
      <c r="D35" s="4" t="s">
        <v>36</v>
      </c>
      <c r="E35" s="4" t="n">
        <v>0</v>
      </c>
      <c r="F35" s="4" t="n">
        <v>20</v>
      </c>
      <c r="G35" s="5" t="s">
        <v>18</v>
      </c>
      <c r="H35" s="5"/>
    </row>
    <row r="36" customFormat="false" ht="15" hidden="false" customHeight="false" outlineLevel="0" collapsed="false">
      <c r="A36" s="4" t="s">
        <v>80</v>
      </c>
      <c r="B36" s="4" t="s">
        <v>81</v>
      </c>
      <c r="C36" s="4" t="n">
        <v>4</v>
      </c>
      <c r="D36" s="4" t="s">
        <v>13</v>
      </c>
      <c r="E36" s="4" t="n">
        <v>30</v>
      </c>
      <c r="F36" s="4" t="n">
        <v>35</v>
      </c>
      <c r="G36" s="5" t="s">
        <v>18</v>
      </c>
      <c r="H36" s="5"/>
    </row>
    <row r="37" customFormat="false" ht="15" hidden="false" customHeight="false" outlineLevel="0" collapsed="false">
      <c r="A37" s="4" t="s">
        <v>82</v>
      </c>
      <c r="B37" s="4" t="s">
        <v>83</v>
      </c>
      <c r="C37" s="4" t="n">
        <v>4</v>
      </c>
      <c r="D37" s="4" t="s">
        <v>13</v>
      </c>
      <c r="E37" s="4" t="n">
        <v>30</v>
      </c>
      <c r="F37" s="4" t="n">
        <v>35</v>
      </c>
      <c r="G37" s="5" t="s">
        <v>18</v>
      </c>
      <c r="H37" s="5"/>
    </row>
    <row r="38" customFormat="false" ht="15" hidden="false" customHeight="false" outlineLevel="0" collapsed="false">
      <c r="A38" s="4" t="s">
        <v>84</v>
      </c>
      <c r="B38" s="4" t="s">
        <v>85</v>
      </c>
      <c r="C38" s="4" t="n">
        <v>4</v>
      </c>
      <c r="D38" s="4" t="s">
        <v>13</v>
      </c>
      <c r="E38" s="4" t="n">
        <v>30</v>
      </c>
      <c r="F38" s="4" t="n">
        <v>35</v>
      </c>
      <c r="G38" s="5" t="s">
        <v>18</v>
      </c>
      <c r="H38" s="5"/>
    </row>
    <row r="39" customFormat="false" ht="15" hidden="false" customHeight="false" outlineLevel="0" collapsed="false">
      <c r="A39" s="4" t="s">
        <v>86</v>
      </c>
      <c r="B39" s="4" t="s">
        <v>87</v>
      </c>
      <c r="C39" s="4" t="n">
        <v>4</v>
      </c>
      <c r="D39" s="4" t="s">
        <v>28</v>
      </c>
      <c r="E39" s="4" t="n">
        <v>30</v>
      </c>
      <c r="F39" s="4" t="n">
        <v>35</v>
      </c>
      <c r="G39" s="5" t="s">
        <v>18</v>
      </c>
      <c r="H39" s="5"/>
    </row>
    <row r="40" customFormat="false" ht="15" hidden="false" customHeight="false" outlineLevel="0" collapsed="false">
      <c r="A40" s="4" t="s">
        <v>88</v>
      </c>
      <c r="B40" s="4" t="s">
        <v>89</v>
      </c>
      <c r="C40" s="4" t="n">
        <v>4</v>
      </c>
      <c r="D40" s="4" t="s">
        <v>31</v>
      </c>
      <c r="E40" s="4" t="n">
        <v>30</v>
      </c>
      <c r="F40" s="4" t="n">
        <v>35</v>
      </c>
      <c r="G40" s="5" t="s">
        <v>18</v>
      </c>
      <c r="H40" s="5"/>
    </row>
    <row r="41" customFormat="false" ht="15" hidden="false" customHeight="false" outlineLevel="0" collapsed="false">
      <c r="A41" s="4" t="s">
        <v>90</v>
      </c>
      <c r="B41" s="4" t="s">
        <v>91</v>
      </c>
      <c r="C41" s="4" t="n">
        <v>4</v>
      </c>
      <c r="D41" s="4" t="s">
        <v>13</v>
      </c>
      <c r="E41" s="4" t="n">
        <v>30</v>
      </c>
      <c r="F41" s="4" t="n">
        <v>35</v>
      </c>
      <c r="G41" s="5" t="s">
        <v>18</v>
      </c>
      <c r="H41" s="5"/>
    </row>
    <row r="42" customFormat="false" ht="15" hidden="false" customHeight="false" outlineLevel="0" collapsed="false">
      <c r="A42" s="4" t="s">
        <v>92</v>
      </c>
      <c r="B42" s="4" t="s">
        <v>93</v>
      </c>
      <c r="C42" s="4" t="n">
        <v>4</v>
      </c>
      <c r="D42" s="4" t="s">
        <v>94</v>
      </c>
      <c r="E42" s="4" t="n">
        <v>40</v>
      </c>
      <c r="F42" s="4" t="n">
        <v>45</v>
      </c>
      <c r="G42" s="5" t="s">
        <v>18</v>
      </c>
      <c r="H42" s="5"/>
    </row>
    <row r="43" customFormat="false" ht="15" hidden="false" customHeight="false" outlineLevel="0" collapsed="false">
      <c r="A43" s="4" t="s">
        <v>95</v>
      </c>
      <c r="B43" s="4" t="s">
        <v>96</v>
      </c>
      <c r="C43" s="4" t="n">
        <v>4</v>
      </c>
      <c r="D43" s="4" t="s">
        <v>13</v>
      </c>
      <c r="E43" s="4" t="n">
        <v>30</v>
      </c>
      <c r="F43" s="4" t="n">
        <v>35</v>
      </c>
      <c r="G43" s="5" t="s">
        <v>18</v>
      </c>
      <c r="H43" s="5"/>
    </row>
    <row r="44" customFormat="false" ht="15" hidden="false" customHeight="false" outlineLevel="0" collapsed="false">
      <c r="A44" s="4" t="s">
        <v>97</v>
      </c>
      <c r="B44" s="4" t="s">
        <v>98</v>
      </c>
      <c r="C44" s="4" t="n">
        <v>4</v>
      </c>
      <c r="D44" s="4" t="s">
        <v>47</v>
      </c>
      <c r="E44" s="4" t="n">
        <v>35</v>
      </c>
      <c r="F44" s="4" t="n">
        <v>40</v>
      </c>
      <c r="G44" s="5" t="s">
        <v>18</v>
      </c>
      <c r="H44" s="5"/>
    </row>
    <row r="45" customFormat="false" ht="15" hidden="false" customHeight="false" outlineLevel="0" collapsed="false">
      <c r="A45" s="4" t="s">
        <v>99</v>
      </c>
      <c r="B45" s="4" t="s">
        <v>100</v>
      </c>
      <c r="C45" s="4" t="n">
        <v>4</v>
      </c>
      <c r="D45" s="4" t="s">
        <v>36</v>
      </c>
      <c r="E45" s="4" t="n">
        <v>0</v>
      </c>
      <c r="F45" s="4" t="n">
        <v>20</v>
      </c>
      <c r="G45" s="5" t="s">
        <v>18</v>
      </c>
      <c r="H45" s="5"/>
    </row>
    <row r="46" customFormat="false" ht="15" hidden="false" customHeight="false" outlineLevel="0" collapsed="false">
      <c r="A46" s="4" t="s">
        <v>101</v>
      </c>
      <c r="B46" s="4" t="s">
        <v>102</v>
      </c>
      <c r="C46" s="4" t="n">
        <v>5</v>
      </c>
      <c r="D46" s="4" t="s">
        <v>47</v>
      </c>
      <c r="E46" s="4" t="n">
        <v>35</v>
      </c>
      <c r="F46" s="4" t="n">
        <v>40</v>
      </c>
      <c r="G46" s="5" t="s">
        <v>18</v>
      </c>
      <c r="H46" s="5"/>
    </row>
    <row r="47" customFormat="false" ht="15" hidden="false" customHeight="false" outlineLevel="0" collapsed="false">
      <c r="A47" s="4" t="s">
        <v>103</v>
      </c>
      <c r="B47" s="4" t="s">
        <v>104</v>
      </c>
      <c r="C47" s="4" t="n">
        <v>5</v>
      </c>
      <c r="D47" s="4" t="s">
        <v>47</v>
      </c>
      <c r="E47" s="4" t="n">
        <v>35</v>
      </c>
      <c r="F47" s="4" t="n">
        <v>40</v>
      </c>
      <c r="G47" s="5" t="s">
        <v>18</v>
      </c>
      <c r="H47" s="5"/>
    </row>
    <row r="48" customFormat="false" ht="15" hidden="false" customHeight="false" outlineLevel="0" collapsed="false">
      <c r="A48" s="4" t="s">
        <v>105</v>
      </c>
      <c r="B48" s="4" t="s">
        <v>106</v>
      </c>
      <c r="C48" s="4" t="n">
        <v>5</v>
      </c>
      <c r="D48" s="4" t="s">
        <v>47</v>
      </c>
      <c r="E48" s="4" t="n">
        <v>35</v>
      </c>
      <c r="F48" s="4" t="n">
        <v>40</v>
      </c>
      <c r="G48" s="5" t="s">
        <v>18</v>
      </c>
      <c r="H48" s="5"/>
    </row>
    <row r="49" customFormat="false" ht="15" hidden="false" customHeight="false" outlineLevel="0" collapsed="false">
      <c r="A49" s="4" t="s">
        <v>107</v>
      </c>
      <c r="B49" s="4" t="s">
        <v>108</v>
      </c>
      <c r="C49" s="4" t="n">
        <v>5</v>
      </c>
      <c r="D49" s="4" t="s">
        <v>36</v>
      </c>
      <c r="E49" s="4" t="n">
        <v>0</v>
      </c>
      <c r="F49" s="4" t="n">
        <v>20</v>
      </c>
      <c r="G49" s="5" t="s">
        <v>18</v>
      </c>
      <c r="H49" s="5"/>
    </row>
    <row r="50" customFormat="false" ht="15" hidden="false" customHeight="false" outlineLevel="0" collapsed="false">
      <c r="A50" s="4" t="s">
        <v>109</v>
      </c>
      <c r="B50" s="4" t="s">
        <v>110</v>
      </c>
      <c r="C50" s="4" t="n">
        <v>5</v>
      </c>
      <c r="D50" s="4" t="s">
        <v>111</v>
      </c>
      <c r="E50" s="4" t="n">
        <v>0</v>
      </c>
      <c r="F50" s="4" t="n">
        <v>40</v>
      </c>
      <c r="G50" s="5" t="s">
        <v>18</v>
      </c>
      <c r="H50" s="5"/>
    </row>
    <row r="51" customFormat="false" ht="15" hidden="false" customHeight="false" outlineLevel="0" collapsed="false">
      <c r="A51" s="4" t="s">
        <v>112</v>
      </c>
      <c r="B51" s="4" t="s">
        <v>113</v>
      </c>
      <c r="C51" s="4" t="n">
        <v>5</v>
      </c>
      <c r="D51" s="4" t="s">
        <v>114</v>
      </c>
      <c r="E51" s="4" t="n">
        <v>50</v>
      </c>
      <c r="F51" s="4" t="n">
        <v>60</v>
      </c>
      <c r="G51" s="5" t="s">
        <v>18</v>
      </c>
      <c r="H51" s="5"/>
    </row>
    <row r="52" customFormat="false" ht="15" hidden="false" customHeight="false" outlineLevel="0" collapsed="false">
      <c r="A52" s="4" t="s">
        <v>115</v>
      </c>
      <c r="B52" s="4" t="s">
        <v>116</v>
      </c>
      <c r="C52" s="4" t="n">
        <v>5</v>
      </c>
      <c r="D52" s="4" t="s">
        <v>117</v>
      </c>
      <c r="E52" s="4" t="n">
        <v>0</v>
      </c>
      <c r="F52" s="4" t="n">
        <v>100</v>
      </c>
      <c r="G52" s="5" t="s">
        <v>18</v>
      </c>
      <c r="H52" s="5"/>
    </row>
    <row r="54" customFormat="false" ht="15" hidden="false" customHeight="false" outlineLevel="0" collapsed="false">
      <c r="A54" s="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3" customFormat="false" ht="15" hidden="false" customHeight="false" outlineLevel="0" collapsed="false">
      <c r="A3" s="2" t="s">
        <v>121</v>
      </c>
    </row>
    <row r="5" customFormat="false" ht="15" hidden="false" customHeight="false" outlineLevel="0" collapsed="false">
      <c r="A5" s="3" t="s">
        <v>122</v>
      </c>
      <c r="B5" s="3" t="s">
        <v>6</v>
      </c>
      <c r="C5" s="3" t="s">
        <v>123</v>
      </c>
      <c r="D5" s="3" t="s">
        <v>124</v>
      </c>
      <c r="E5" s="3" t="s">
        <v>125</v>
      </c>
    </row>
    <row r="6" customFormat="false" ht="15" hidden="false" customHeight="false" outlineLevel="0" collapsed="false">
      <c r="A6" s="5" t="s">
        <v>126</v>
      </c>
      <c r="B6" s="5" t="s">
        <v>127</v>
      </c>
      <c r="C6" s="5" t="s">
        <v>128</v>
      </c>
      <c r="D6" s="5" t="s">
        <v>129</v>
      </c>
      <c r="E6" s="5" t="n">
        <v>10</v>
      </c>
    </row>
    <row r="7" customFormat="false" ht="15" hidden="false" customHeight="false" outlineLevel="0" collapsed="false">
      <c r="A7" s="5"/>
      <c r="B7" s="5" t="s">
        <v>130</v>
      </c>
      <c r="C7" s="5" t="s">
        <v>131</v>
      </c>
      <c r="D7" s="5" t="s">
        <v>132</v>
      </c>
      <c r="E7" s="5" t="n">
        <v>0</v>
      </c>
    </row>
    <row r="8" customFormat="false" ht="15" hidden="false" customHeight="false" outlineLevel="0" collapsed="false">
      <c r="A8" s="5"/>
      <c r="B8" s="5" t="s">
        <v>133</v>
      </c>
      <c r="C8" s="5" t="s">
        <v>134</v>
      </c>
      <c r="D8" s="5" t="s">
        <v>135</v>
      </c>
      <c r="E8" s="5" t="n">
        <v>0</v>
      </c>
    </row>
    <row r="9" customFormat="false" ht="15" hidden="false" customHeight="false" outlineLevel="0" collapsed="false">
      <c r="A9" s="5"/>
      <c r="B9" s="5" t="s">
        <v>136</v>
      </c>
      <c r="C9" s="5" t="s">
        <v>137</v>
      </c>
      <c r="D9" s="5" t="s">
        <v>138</v>
      </c>
      <c r="E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6" t="s">
        <v>141</v>
      </c>
      <c r="B4" s="7" t="n">
        <f aca="false">SUMIFS(Misiones!F6:F52,Misiones!G6:G52,"Completada")</f>
        <v>20</v>
      </c>
    </row>
    <row r="5" customFormat="false" ht="15" hidden="false" customHeight="false" outlineLevel="0" collapsed="false">
      <c r="A5" s="6" t="s">
        <v>142</v>
      </c>
      <c r="B5" s="7" t="n">
        <f aca="false">SUMIFS(Misiones!E6:E52,Misiones!G6:G52,"Completada")</f>
        <v>0</v>
      </c>
    </row>
    <row r="6" customFormat="false" ht="15" hidden="false" customHeight="false" outlineLevel="0" collapsed="false">
      <c r="A6" s="6" t="s">
        <v>143</v>
      </c>
      <c r="B6" s="7" t="n">
        <f aca="false">SUM(Canjes!E6:E35)</f>
        <v>10</v>
      </c>
    </row>
    <row r="7" customFormat="false" ht="15" hidden="false" customHeight="false" outlineLevel="0" collapsed="false">
      <c r="A7" s="6" t="s">
        <v>144</v>
      </c>
      <c r="B7" s="7" t="n">
        <f aca="false">B4-B5-B6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2026-09-10T03:52:44Z</dcterms:created>
  <dc:creator>openpyxl</dc:creator>
  <dc:description/>
  <dc:language>en-US</dc:language>
  <cp:lastModifiedBy/>
  <dcterms:modified xsi:type="dcterms:W3CDTF">2026-09-10T03:52:44Z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